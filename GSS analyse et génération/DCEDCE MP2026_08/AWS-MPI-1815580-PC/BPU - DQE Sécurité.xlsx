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ndrine\Desktop\SMO\APPELS D'OFFRE\SECURITE\"/>
    </mc:Choice>
  </mc:AlternateContent>
  <xr:revisionPtr revIDLastSave="0" documentId="13_ncr:1_{D116E024-6DFC-41C1-9ACF-30F689D17E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PU" sheetId="1" r:id="rId1"/>
    <sheet name="DQE" sheetId="3" r:id="rId2"/>
    <sheet name="Feuil2" sheetId="2" r:id="rId3"/>
  </sheets>
  <definedNames>
    <definedName name="_xlnm.Print_Area" localSheetId="0">BPU!$A$1:$D$74</definedName>
    <definedName name="_xlnm.Print_Area" localSheetId="1">DQE!$A$1:$F$86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6" i="3" l="1"/>
  <c r="F21" i="3"/>
  <c r="F20" i="3"/>
  <c r="F19" i="3"/>
  <c r="F18" i="3"/>
  <c r="F14" i="3"/>
  <c r="F13" i="3"/>
  <c r="F12" i="3"/>
  <c r="F11" i="3"/>
  <c r="F10" i="3"/>
  <c r="F9" i="3"/>
  <c r="F63" i="3"/>
  <c r="F62" i="3"/>
  <c r="F61" i="3"/>
  <c r="F60" i="3"/>
  <c r="F59" i="3"/>
  <c r="F58" i="3"/>
  <c r="F57" i="3"/>
  <c r="F52" i="3"/>
  <c r="F53" i="3" s="1"/>
  <c r="F72" i="3" s="1"/>
  <c r="F44" i="3"/>
  <c r="F45" i="3"/>
  <c r="F46" i="3"/>
  <c r="F47" i="3"/>
  <c r="F48" i="3"/>
  <c r="F43" i="3"/>
  <c r="F35" i="3"/>
  <c r="F36" i="3"/>
  <c r="F37" i="3"/>
  <c r="F38" i="3"/>
  <c r="F39" i="3"/>
  <c r="F34" i="3"/>
  <c r="F26" i="3"/>
  <c r="F27" i="3"/>
  <c r="F28" i="3"/>
  <c r="F29" i="3"/>
  <c r="F30" i="3"/>
  <c r="F25" i="3"/>
  <c r="F31" i="3" l="1"/>
  <c r="F69" i="3" s="1"/>
  <c r="F22" i="3"/>
  <c r="F68" i="3" s="1"/>
  <c r="F64" i="3"/>
  <c r="F73" i="3" s="1"/>
  <c r="F15" i="3"/>
  <c r="F67" i="3" s="1"/>
  <c r="F49" i="3"/>
  <c r="F71" i="3" s="1"/>
  <c r="F40" i="3"/>
  <c r="F70" i="3" s="1"/>
  <c r="F75" i="3" l="1"/>
  <c r="F76" i="3" s="1"/>
  <c r="F77" i="3" s="1"/>
</calcChain>
</file>

<file path=xl/sharedStrings.xml><?xml version="1.0" encoding="utf-8"?>
<sst xmlns="http://schemas.openxmlformats.org/spreadsheetml/2006/main" count="328" uniqueCount="131">
  <si>
    <t>BORDEREAU DE PRIX UNITAIRES</t>
  </si>
  <si>
    <t>Opération :</t>
  </si>
  <si>
    <t>UNITÉS</t>
  </si>
  <si>
    <t>PRIX UNITAIRES H.T. (Euros)</t>
  </si>
  <si>
    <t xml:space="preserve">Réf </t>
  </si>
  <si>
    <t>DÉSIGNATION DES PRESTATIONS</t>
  </si>
  <si>
    <t>HEURE</t>
  </si>
  <si>
    <t>Forfait</t>
  </si>
  <si>
    <t>Marché de prestation de sécurité incendie - sûreté</t>
  </si>
  <si>
    <t>ADS</t>
  </si>
  <si>
    <t>Prestation ADS - heure en journée/Semaine (06h00-21h00)</t>
  </si>
  <si>
    <t>Prestation ADS - heure de nuit/Semaine (21h00-06h00)</t>
  </si>
  <si>
    <t>Prestation ADS - heure en journée/Dimanche (06h00-21h00)</t>
  </si>
  <si>
    <t>Prestation ADS - heure de nuit/Dimanche (21h00-06h00)</t>
  </si>
  <si>
    <t>Prestation ADS - heure en journée/Férié (06h00-21h00)</t>
  </si>
  <si>
    <t>Prestation ADS - heure de nuit/Férié (21h00-06h00)</t>
  </si>
  <si>
    <t>A</t>
  </si>
  <si>
    <t>A.01</t>
  </si>
  <si>
    <t>Prestation ADS - heure en journée/Dimanche Férié (06h00-21h00)</t>
  </si>
  <si>
    <t>Prestation ADS - heure de nuit/Dimanche Férié (21h00-06h00)</t>
  </si>
  <si>
    <t>A.02</t>
  </si>
  <si>
    <t>A.03</t>
  </si>
  <si>
    <t>A.04</t>
  </si>
  <si>
    <t>A.05</t>
  </si>
  <si>
    <t>A.06</t>
  </si>
  <si>
    <t>A.07</t>
  </si>
  <si>
    <t>A.08</t>
  </si>
  <si>
    <t>CYNOPHILE</t>
  </si>
  <si>
    <t>Prestation Cynophile - heure en journée/Semaine (06h00-21h00)</t>
  </si>
  <si>
    <t>Prestation Cynophile - heure de nuit/Semaine (21h00-06h00)</t>
  </si>
  <si>
    <t>Prestation Cynophile - heure en journée/Dimanche (06h00-21h00)</t>
  </si>
  <si>
    <t>Prestation Cynophile - heure de nuit/Dimanche (21h00-06h00)</t>
  </si>
  <si>
    <t>Prestation Cynophile - heure en journée/Férié (06h00-21h00)</t>
  </si>
  <si>
    <t>Prestation Cynophile - heure de nuit/Férié (21h00-06h00)</t>
  </si>
  <si>
    <t>Prestation Cynophile - heure en journée/Dimanche Férié (06h00-21h00)</t>
  </si>
  <si>
    <t>Prestation Cynophile - heure de nuit/Dimanche Férié (21h00-06h00)</t>
  </si>
  <si>
    <t>B</t>
  </si>
  <si>
    <t>B.01</t>
  </si>
  <si>
    <t>B.02</t>
  </si>
  <si>
    <t>B.03</t>
  </si>
  <si>
    <t>B.04</t>
  </si>
  <si>
    <t>B.05</t>
  </si>
  <si>
    <t>B.06</t>
  </si>
  <si>
    <t>B.07</t>
  </si>
  <si>
    <t>B.08</t>
  </si>
  <si>
    <t>CHEF D'EQUIPE</t>
  </si>
  <si>
    <t>C</t>
  </si>
  <si>
    <t>Prestation Chef d'équipe - heure en journée/Semaine (06h00-21h00)</t>
  </si>
  <si>
    <t>Prestation Chef d'équipe - heure de nuit/Semaine (21h00-06h00)</t>
  </si>
  <si>
    <t>Prestation Chef d'équipe - heure en journée/Dimanche (06h00-21h00)</t>
  </si>
  <si>
    <t>Prestation Chef d'équipe - heure de nuit/Dimanche (21h00-06h00)</t>
  </si>
  <si>
    <t>Prestation Chef d'équipe - heure en journée/Férié (06h00-21h00)</t>
  </si>
  <si>
    <t>Prestation Chef d'équipe - heure de nuit/Férié (21h00-06h00)</t>
  </si>
  <si>
    <t>Prestation Chef d'équipe - heure en journée/Dimanche Férié (06h00-21h00)</t>
  </si>
  <si>
    <t>Prestation Chef d'équipe - heure de nuit/Dimanche Férié (21h00-06h00)</t>
  </si>
  <si>
    <t>C.01</t>
  </si>
  <si>
    <t>C.02</t>
  </si>
  <si>
    <t>C.03</t>
  </si>
  <si>
    <t>C.04</t>
  </si>
  <si>
    <t>C.05</t>
  </si>
  <si>
    <t>C.06</t>
  </si>
  <si>
    <t>C.07</t>
  </si>
  <si>
    <t>C.08</t>
  </si>
  <si>
    <t>SSIAP1</t>
  </si>
  <si>
    <t>D</t>
  </si>
  <si>
    <t>D.01</t>
  </si>
  <si>
    <t>D.02</t>
  </si>
  <si>
    <t>Prestation SSIAP1 - heure en journée/Semaine (06h00-21h00)</t>
  </si>
  <si>
    <t>Prestation SSIAP1 - heure de nuit/Semaine (21h00-06h00)</t>
  </si>
  <si>
    <t>Prestation SSIAP1 - heure en journée/Dimanche (06h00-21h00)</t>
  </si>
  <si>
    <t>Prestation SSIAP1 - heure de nuit/Dimanche (21h00-06h00)</t>
  </si>
  <si>
    <t>Prestation SSIAP1 - heure en journée/Férié (06h00-21h00)</t>
  </si>
  <si>
    <t>Prestation SSIAP1 - heure de nuit/Férié (21h00-06h00)</t>
  </si>
  <si>
    <t>Prestation SSIAP1 - heure en journée/Dimanche Férié (06h00-21h00)</t>
  </si>
  <si>
    <t>Prestation SSIAP1 - heure de nuit/Dimanche Férié (21h00-06h00)</t>
  </si>
  <si>
    <t>D.03</t>
  </si>
  <si>
    <t>D.04</t>
  </si>
  <si>
    <t>D.05</t>
  </si>
  <si>
    <t>D.06</t>
  </si>
  <si>
    <t>D.07</t>
  </si>
  <si>
    <t>D.08</t>
  </si>
  <si>
    <t>SSIAP2</t>
  </si>
  <si>
    <t>E</t>
  </si>
  <si>
    <t>E.01</t>
  </si>
  <si>
    <t>E.02</t>
  </si>
  <si>
    <t>Prestation SSIAP2 - heure en journée/Semaine (06h00-21h00)</t>
  </si>
  <si>
    <t>Prestation SSIAP2 - heure de nuit/Semaine (21h00-06h00)</t>
  </si>
  <si>
    <t>Prestation SSIAP2 - heure en journée/Dimanche (06h00-21h00)</t>
  </si>
  <si>
    <t>Prestation SSIAP2 - heure de nuit/Dimanche (21h00-06h00)</t>
  </si>
  <si>
    <t>Prestation SSIAP2 - heure en journée/Férié (06h00-21h00)</t>
  </si>
  <si>
    <t>Prestation SSIAP2 - heure de nuit/Férié (21h00-06h00)</t>
  </si>
  <si>
    <t>Prestation SSIAP2 - heure en journée/Dimanche Férié (06h00-21h00)</t>
  </si>
  <si>
    <t>Prestation SSIAP2 - heure de nuit/Dimanche Férié (21h00-06h00)</t>
  </si>
  <si>
    <t>Rondes</t>
  </si>
  <si>
    <t>E.03</t>
  </si>
  <si>
    <t>E.04</t>
  </si>
  <si>
    <t>E.05</t>
  </si>
  <si>
    <t>E.06</t>
  </si>
  <si>
    <t>E.07</t>
  </si>
  <si>
    <t>E.08</t>
  </si>
  <si>
    <t>F</t>
  </si>
  <si>
    <t>RONDES</t>
  </si>
  <si>
    <t>F.01</t>
  </si>
  <si>
    <t>DETAIL QUANTITATIF ESTIMATIF - BON DE COMMANDE FICTIF</t>
  </si>
  <si>
    <t xml:space="preserve">CASES BLEUES à compléter par le candidat </t>
  </si>
  <si>
    <t>Nbre d'heures/Forfaits annuels estimés</t>
  </si>
  <si>
    <t>TOTAL</t>
  </si>
  <si>
    <t>TOTAL ADS HORS TAXES</t>
  </si>
  <si>
    <t>TOTAL CYNOPHILE HORS TAXES</t>
  </si>
  <si>
    <t>TOTAL CHEL D'EQUIPE  HORS TAXES</t>
  </si>
  <si>
    <t>TOTAL SSIAP1 HORS TAXES</t>
  </si>
  <si>
    <t>TOTAL SSIAP2 HORS TAXES</t>
  </si>
  <si>
    <t>TOTAL RONDES HORS TAXES</t>
  </si>
  <si>
    <t>RECAPITULATIF</t>
  </si>
  <si>
    <t>TOTAL HORS TAXE ESTIME</t>
  </si>
  <si>
    <t>TVA 20%</t>
  </si>
  <si>
    <t>MONTANT TTC ESTIME</t>
  </si>
  <si>
    <t>G</t>
  </si>
  <si>
    <t>G.01</t>
  </si>
  <si>
    <t>G.02</t>
  </si>
  <si>
    <t>G.03</t>
  </si>
  <si>
    <t>G.04</t>
  </si>
  <si>
    <t>G.05</t>
  </si>
  <si>
    <t>G.06</t>
  </si>
  <si>
    <t>G.07</t>
  </si>
  <si>
    <t>G.08</t>
  </si>
  <si>
    <t>ADS - Parking soirées ZENITH</t>
  </si>
  <si>
    <t>TOTAL ADS/ZENITH HORS TAXES</t>
  </si>
  <si>
    <t>Le :</t>
  </si>
  <si>
    <t>Entreprise :</t>
  </si>
  <si>
    <t>ROUEN NORMANDIE EVENEMENTS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</si>
</sst>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12" x14ac:knownFonts="1">
    <font>
      <sz val="11"/>
      <color theme="1"/>
      <name val="Aptos Narrow"/>
      <family val="2"/>
      <scheme val="minor"/>
    </font>
    <font>
      <sz val="16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16"/>
      <color theme="3" tint="0.249977111117893"/>
      <name val="Arial Narrow"/>
      <family val="2"/>
    </font>
    <font>
      <sz val="8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i/>
      <sz val="12"/>
      <color theme="1"/>
      <name val="Arial Narrow"/>
      <family val="2"/>
    </font>
    <font>
      <b/>
      <i/>
      <sz val="11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4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72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5" xfId="0" quotePrefix="1" applyFont="1" applyBorder="1" applyAlignment="1">
      <alignment horizontal="center" vertical="center"/>
    </xf>
    <xf numFmtId="0" fontId="6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6" xfId="0" quotePrefix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10" xfId="0" quotePrefix="1" applyFont="1" applyBorder="1" applyAlignment="1">
      <alignment horizontal="center" vertical="center"/>
    </xf>
    <xf numFmtId="0" fontId="6" fillId="0" borderId="10" xfId="0" applyFont="1" applyBorder="1" applyAlignment="1">
      <alignment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7" xfId="0" quotePrefix="1" applyFont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3" fillId="3" borderId="0" xfId="0" applyFont="1" applyFill="1"/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44" fontId="6" fillId="0" borderId="5" xfId="1" applyFont="1" applyBorder="1" applyAlignment="1">
      <alignment vertical="center"/>
    </xf>
    <xf numFmtId="44" fontId="3" fillId="0" borderId="0" xfId="1" applyFont="1" applyAlignment="1">
      <alignment horizontal="center"/>
    </xf>
    <xf numFmtId="44" fontId="3" fillId="0" borderId="0" xfId="1" applyFont="1"/>
    <xf numFmtId="44" fontId="7" fillId="4" borderId="1" xfId="1" applyFont="1" applyFill="1" applyBorder="1" applyAlignment="1">
      <alignment horizontal="center" vertical="center" wrapText="1"/>
    </xf>
    <xf numFmtId="44" fontId="6" fillId="0" borderId="9" xfId="1" applyFont="1" applyBorder="1" applyAlignment="1">
      <alignment horizontal="center" vertical="center"/>
    </xf>
    <xf numFmtId="44" fontId="6" fillId="0" borderId="9" xfId="1" applyFont="1" applyBorder="1" applyAlignment="1">
      <alignment horizontal="center" vertical="center" wrapText="1"/>
    </xf>
    <xf numFmtId="44" fontId="6" fillId="0" borderId="1" xfId="1" applyFont="1" applyBorder="1" applyAlignment="1">
      <alignment horizontal="center" vertical="center"/>
    </xf>
    <xf numFmtId="44" fontId="6" fillId="0" borderId="1" xfId="1" applyFont="1" applyBorder="1" applyAlignment="1">
      <alignment vertical="center"/>
    </xf>
    <xf numFmtId="0" fontId="6" fillId="0" borderId="0" xfId="0" quotePrefix="1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44" fontId="6" fillId="0" borderId="0" xfId="1" applyFont="1" applyBorder="1" applyAlignment="1">
      <alignment vertical="center"/>
    </xf>
    <xf numFmtId="44" fontId="6" fillId="0" borderId="0" xfId="1" applyFont="1" applyFill="1" applyBorder="1" applyAlignment="1">
      <alignment horizontal="center" vertical="center"/>
    </xf>
    <xf numFmtId="44" fontId="6" fillId="0" borderId="1" xfId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44" fontId="10" fillId="0" borderId="1" xfId="1" applyFont="1" applyBorder="1" applyAlignment="1">
      <alignment vertical="center"/>
    </xf>
    <xf numFmtId="44" fontId="10" fillId="0" borderId="0" xfId="1" applyFont="1" applyBorder="1" applyAlignment="1">
      <alignment vertical="center"/>
    </xf>
    <xf numFmtId="44" fontId="10" fillId="0" borderId="11" xfId="1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right"/>
    </xf>
    <xf numFmtId="44" fontId="2" fillId="0" borderId="1" xfId="1" applyFont="1" applyBorder="1"/>
    <xf numFmtId="0" fontId="2" fillId="4" borderId="0" xfId="0" applyFont="1" applyFill="1"/>
    <xf numFmtId="0" fontId="3" fillId="4" borderId="0" xfId="0" applyFont="1" applyFill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11" fillId="0" borderId="12" xfId="0" applyFont="1" applyBorder="1"/>
    <xf numFmtId="0" fontId="11" fillId="0" borderId="14" xfId="0" applyFont="1" applyBorder="1"/>
    <xf numFmtId="0" fontId="7" fillId="5" borderId="1" xfId="0" applyFont="1" applyFill="1" applyBorder="1" applyAlignment="1">
      <alignment horizontal="center" vertical="center"/>
    </xf>
    <xf numFmtId="44" fontId="6" fillId="0" borderId="11" xfId="1" applyFont="1" applyBorder="1" applyAlignment="1">
      <alignment vertical="center"/>
    </xf>
    <xf numFmtId="44" fontId="6" fillId="0" borderId="10" xfId="1" applyFont="1" applyBorder="1" applyAlignment="1">
      <alignment vertical="center"/>
    </xf>
    <xf numFmtId="44" fontId="6" fillId="3" borderId="5" xfId="1" applyFont="1" applyFill="1" applyBorder="1" applyAlignment="1" applyProtection="1">
      <alignment horizontal="center" vertical="center"/>
      <protection locked="0"/>
    </xf>
    <xf numFmtId="44" fontId="6" fillId="3" borderId="7" xfId="1" applyFont="1" applyFill="1" applyBorder="1" applyAlignment="1" applyProtection="1">
      <alignment horizontal="center" vertical="center"/>
      <protection locked="0"/>
    </xf>
    <xf numFmtId="44" fontId="6" fillId="3" borderId="10" xfId="1" applyFont="1" applyFill="1" applyBorder="1" applyAlignment="1" applyProtection="1">
      <alignment horizontal="center" vertical="center"/>
      <protection locked="0"/>
    </xf>
    <xf numFmtId="44" fontId="6" fillId="3" borderId="1" xfId="1" applyFont="1" applyFill="1" applyBorder="1" applyAlignment="1" applyProtection="1">
      <alignment horizontal="center" vertical="center"/>
      <protection locked="0"/>
    </xf>
    <xf numFmtId="44" fontId="7" fillId="5" borderId="1" xfId="1" applyFont="1" applyFill="1" applyBorder="1" applyAlignment="1">
      <alignment horizontal="center" vertical="center" wrapText="1"/>
    </xf>
    <xf numFmtId="44" fontId="6" fillId="3" borderId="5" xfId="1" applyFont="1" applyFill="1" applyBorder="1" applyAlignment="1" applyProtection="1">
      <alignment vertical="center"/>
      <protection locked="0"/>
    </xf>
    <xf numFmtId="44" fontId="6" fillId="3" borderId="7" xfId="1" applyFont="1" applyFill="1" applyBorder="1" applyAlignment="1" applyProtection="1">
      <alignment vertical="center"/>
      <protection locked="0"/>
    </xf>
    <xf numFmtId="44" fontId="6" fillId="3" borderId="10" xfId="1" applyFont="1" applyFill="1" applyBorder="1" applyAlignment="1" applyProtection="1">
      <alignment vertical="center"/>
      <protection locked="0"/>
    </xf>
    <xf numFmtId="0" fontId="4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190501</xdr:colOff>
      <xdr:row>0</xdr:row>
      <xdr:rowOff>752475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042969F-3C28-DBC7-44BD-9AF32744D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1047750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190501</xdr:colOff>
      <xdr:row>0</xdr:row>
      <xdr:rowOff>752475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EE88816-AAB1-41FD-A345-1FF0F3272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1047750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showGridLines="0" tabSelected="1" topLeftCell="A53" workbookViewId="0">
      <selection activeCell="H59" sqref="H59"/>
    </sheetView>
  </sheetViews>
  <sheetFormatPr baseColWidth="10" defaultColWidth="11.42578125" defaultRowHeight="16.5" x14ac:dyDescent="0.3"/>
  <cols>
    <col min="1" max="1" width="12.85546875" style="2" customWidth="1"/>
    <col min="2" max="2" width="52.5703125" style="2" customWidth="1"/>
    <col min="3" max="3" width="11.42578125" style="3"/>
    <col min="4" max="4" width="17.42578125" style="29" customWidth="1"/>
    <col min="5" max="16384" width="11.42578125" style="2"/>
  </cols>
  <sheetData>
    <row r="1" spans="1:6" s="1" customFormat="1" ht="74.25" customHeight="1" x14ac:dyDescent="0.3">
      <c r="A1"/>
      <c r="B1" s="68" t="s">
        <v>130</v>
      </c>
      <c r="C1" s="68"/>
      <c r="D1" s="68"/>
    </row>
    <row r="2" spans="1:6" x14ac:dyDescent="0.3">
      <c r="A2" s="69" t="s">
        <v>0</v>
      </c>
      <c r="B2" s="70"/>
      <c r="C2" s="70"/>
      <c r="D2" s="71"/>
    </row>
    <row r="3" spans="1:6" ht="34.5" customHeight="1" x14ac:dyDescent="0.3">
      <c r="A3" s="2" t="s">
        <v>1</v>
      </c>
      <c r="B3" s="2" t="s">
        <v>8</v>
      </c>
    </row>
    <row r="4" spans="1:6" ht="18.75" customHeight="1" x14ac:dyDescent="0.3"/>
    <row r="5" spans="1:6" x14ac:dyDescent="0.3">
      <c r="A5" s="23" t="s">
        <v>104</v>
      </c>
      <c r="B5" s="24"/>
      <c r="D5" s="28"/>
      <c r="E5" s="28"/>
      <c r="F5" s="29"/>
    </row>
    <row r="8" spans="1:6" s="13" customFormat="1" ht="31.5" x14ac:dyDescent="0.25">
      <c r="A8" s="57" t="s">
        <v>4</v>
      </c>
      <c r="B8" s="57" t="s">
        <v>5</v>
      </c>
      <c r="C8" s="57" t="s">
        <v>2</v>
      </c>
      <c r="D8" s="64" t="s">
        <v>3</v>
      </c>
    </row>
    <row r="9" spans="1:6" s="4" customFormat="1" ht="15.75" x14ac:dyDescent="0.25">
      <c r="A9" s="10" t="s">
        <v>16</v>
      </c>
      <c r="B9" s="12" t="s">
        <v>9</v>
      </c>
      <c r="C9" s="10"/>
      <c r="D9" s="32"/>
    </row>
    <row r="10" spans="1:6" s="8" customFormat="1" ht="36.75" customHeight="1" x14ac:dyDescent="0.25">
      <c r="A10" s="5" t="s">
        <v>17</v>
      </c>
      <c r="B10" s="6" t="s">
        <v>10</v>
      </c>
      <c r="C10" s="7" t="s">
        <v>6</v>
      </c>
      <c r="D10" s="65"/>
    </row>
    <row r="11" spans="1:6" s="8" customFormat="1" ht="36.75" customHeight="1" x14ac:dyDescent="0.25">
      <c r="A11" s="17" t="s">
        <v>20</v>
      </c>
      <c r="B11" s="18" t="s">
        <v>11</v>
      </c>
      <c r="C11" s="19" t="s">
        <v>6</v>
      </c>
      <c r="D11" s="66"/>
    </row>
    <row r="12" spans="1:6" s="8" customFormat="1" ht="36.75" customHeight="1" x14ac:dyDescent="0.25">
      <c r="A12" s="5" t="s">
        <v>21</v>
      </c>
      <c r="B12" s="6" t="s">
        <v>12</v>
      </c>
      <c r="C12" s="7" t="s">
        <v>6</v>
      </c>
      <c r="D12" s="65"/>
    </row>
    <row r="13" spans="1:6" s="8" customFormat="1" ht="36.75" customHeight="1" x14ac:dyDescent="0.25">
      <c r="A13" s="17" t="s">
        <v>22</v>
      </c>
      <c r="B13" s="18" t="s">
        <v>13</v>
      </c>
      <c r="C13" s="19" t="s">
        <v>6</v>
      </c>
      <c r="D13" s="66"/>
    </row>
    <row r="14" spans="1:6" s="8" customFormat="1" ht="36.75" customHeight="1" x14ac:dyDescent="0.25">
      <c r="A14" s="5" t="s">
        <v>23</v>
      </c>
      <c r="B14" s="6" t="s">
        <v>14</v>
      </c>
      <c r="C14" s="7" t="s">
        <v>6</v>
      </c>
      <c r="D14" s="65"/>
    </row>
    <row r="15" spans="1:6" s="8" customFormat="1" ht="36.75" customHeight="1" x14ac:dyDescent="0.25">
      <c r="A15" s="17" t="s">
        <v>24</v>
      </c>
      <c r="B15" s="18" t="s">
        <v>15</v>
      </c>
      <c r="C15" s="19" t="s">
        <v>6</v>
      </c>
      <c r="D15" s="66"/>
    </row>
    <row r="16" spans="1:6" s="8" customFormat="1" ht="36.75" customHeight="1" x14ac:dyDescent="0.25">
      <c r="A16" s="14" t="s">
        <v>25</v>
      </c>
      <c r="B16" s="15" t="s">
        <v>18</v>
      </c>
      <c r="C16" s="16" t="s">
        <v>6</v>
      </c>
      <c r="D16" s="67"/>
    </row>
    <row r="17" spans="1:4" s="8" customFormat="1" ht="36.75" customHeight="1" x14ac:dyDescent="0.25">
      <c r="A17" s="17" t="s">
        <v>26</v>
      </c>
      <c r="B17" s="18" t="s">
        <v>19</v>
      </c>
      <c r="C17" s="19" t="s">
        <v>6</v>
      </c>
      <c r="D17" s="66"/>
    </row>
    <row r="18" spans="1:4" s="4" customFormat="1" ht="15.75" x14ac:dyDescent="0.25">
      <c r="A18" s="10" t="s">
        <v>36</v>
      </c>
      <c r="B18" s="12" t="s">
        <v>27</v>
      </c>
      <c r="C18" s="10"/>
      <c r="D18" s="32"/>
    </row>
    <row r="19" spans="1:4" s="8" customFormat="1" ht="36.75" customHeight="1" x14ac:dyDescent="0.25">
      <c r="A19" s="5" t="s">
        <v>37</v>
      </c>
      <c r="B19" s="6" t="s">
        <v>28</v>
      </c>
      <c r="C19" s="7" t="s">
        <v>6</v>
      </c>
      <c r="D19" s="65"/>
    </row>
    <row r="20" spans="1:4" s="8" customFormat="1" ht="36.75" customHeight="1" x14ac:dyDescent="0.25">
      <c r="A20" s="17" t="s">
        <v>38</v>
      </c>
      <c r="B20" s="18" t="s">
        <v>29</v>
      </c>
      <c r="C20" s="19" t="s">
        <v>6</v>
      </c>
      <c r="D20" s="66"/>
    </row>
    <row r="21" spans="1:4" s="8" customFormat="1" ht="36.75" customHeight="1" x14ac:dyDescent="0.25">
      <c r="A21" s="5" t="s">
        <v>39</v>
      </c>
      <c r="B21" s="6" t="s">
        <v>30</v>
      </c>
      <c r="C21" s="7" t="s">
        <v>6</v>
      </c>
      <c r="D21" s="65"/>
    </row>
    <row r="22" spans="1:4" s="8" customFormat="1" ht="36.75" customHeight="1" x14ac:dyDescent="0.25">
      <c r="A22" s="17" t="s">
        <v>40</v>
      </c>
      <c r="B22" s="18" t="s">
        <v>31</v>
      </c>
      <c r="C22" s="19" t="s">
        <v>6</v>
      </c>
      <c r="D22" s="66"/>
    </row>
    <row r="23" spans="1:4" s="8" customFormat="1" ht="36.75" customHeight="1" x14ac:dyDescent="0.25">
      <c r="A23" s="5" t="s">
        <v>41</v>
      </c>
      <c r="B23" s="6" t="s">
        <v>32</v>
      </c>
      <c r="C23" s="7" t="s">
        <v>6</v>
      </c>
      <c r="D23" s="65"/>
    </row>
    <row r="24" spans="1:4" s="8" customFormat="1" ht="36.75" customHeight="1" x14ac:dyDescent="0.25">
      <c r="A24" s="17" t="s">
        <v>42</v>
      </c>
      <c r="B24" s="18" t="s">
        <v>33</v>
      </c>
      <c r="C24" s="19" t="s">
        <v>6</v>
      </c>
      <c r="D24" s="66"/>
    </row>
    <row r="25" spans="1:4" s="8" customFormat="1" ht="36.75" customHeight="1" x14ac:dyDescent="0.25">
      <c r="A25" s="14" t="s">
        <v>43</v>
      </c>
      <c r="B25" s="15" t="s">
        <v>34</v>
      </c>
      <c r="C25" s="16" t="s">
        <v>6</v>
      </c>
      <c r="D25" s="67"/>
    </row>
    <row r="26" spans="1:4" s="8" customFormat="1" ht="36.75" customHeight="1" x14ac:dyDescent="0.25">
      <c r="A26" s="17" t="s">
        <v>44</v>
      </c>
      <c r="B26" s="18" t="s">
        <v>35</v>
      </c>
      <c r="C26" s="19" t="s">
        <v>6</v>
      </c>
      <c r="D26" s="66"/>
    </row>
    <row r="27" spans="1:4" s="4" customFormat="1" ht="15.75" x14ac:dyDescent="0.25">
      <c r="A27" s="10" t="s">
        <v>46</v>
      </c>
      <c r="B27" s="12" t="s">
        <v>45</v>
      </c>
      <c r="C27" s="10"/>
      <c r="D27" s="32"/>
    </row>
    <row r="28" spans="1:4" s="8" customFormat="1" ht="36.75" customHeight="1" x14ac:dyDescent="0.25">
      <c r="A28" s="5" t="s">
        <v>55</v>
      </c>
      <c r="B28" s="6" t="s">
        <v>47</v>
      </c>
      <c r="C28" s="7" t="s">
        <v>6</v>
      </c>
      <c r="D28" s="65"/>
    </row>
    <row r="29" spans="1:4" s="8" customFormat="1" ht="36.75" customHeight="1" x14ac:dyDescent="0.25">
      <c r="A29" s="17" t="s">
        <v>56</v>
      </c>
      <c r="B29" s="18" t="s">
        <v>48</v>
      </c>
      <c r="C29" s="19" t="s">
        <v>6</v>
      </c>
      <c r="D29" s="66"/>
    </row>
    <row r="30" spans="1:4" s="8" customFormat="1" ht="36.75" customHeight="1" x14ac:dyDescent="0.25">
      <c r="A30" s="5" t="s">
        <v>57</v>
      </c>
      <c r="B30" s="6" t="s">
        <v>49</v>
      </c>
      <c r="C30" s="7" t="s">
        <v>6</v>
      </c>
      <c r="D30" s="65"/>
    </row>
    <row r="31" spans="1:4" s="8" customFormat="1" ht="36.75" customHeight="1" x14ac:dyDescent="0.25">
      <c r="A31" s="17" t="s">
        <v>58</v>
      </c>
      <c r="B31" s="18" t="s">
        <v>50</v>
      </c>
      <c r="C31" s="19" t="s">
        <v>6</v>
      </c>
      <c r="D31" s="66"/>
    </row>
    <row r="32" spans="1:4" s="8" customFormat="1" ht="36.75" customHeight="1" x14ac:dyDescent="0.25">
      <c r="A32" s="5" t="s">
        <v>59</v>
      </c>
      <c r="B32" s="6" t="s">
        <v>51</v>
      </c>
      <c r="C32" s="7" t="s">
        <v>6</v>
      </c>
      <c r="D32" s="65"/>
    </row>
    <row r="33" spans="1:4" s="8" customFormat="1" ht="36.75" customHeight="1" x14ac:dyDescent="0.25">
      <c r="A33" s="17" t="s">
        <v>60</v>
      </c>
      <c r="B33" s="18" t="s">
        <v>52</v>
      </c>
      <c r="C33" s="19" t="s">
        <v>6</v>
      </c>
      <c r="D33" s="66"/>
    </row>
    <row r="34" spans="1:4" s="8" customFormat="1" ht="36.75" customHeight="1" x14ac:dyDescent="0.25">
      <c r="A34" s="14" t="s">
        <v>61</v>
      </c>
      <c r="B34" s="15" t="s">
        <v>53</v>
      </c>
      <c r="C34" s="16" t="s">
        <v>6</v>
      </c>
      <c r="D34" s="67"/>
    </row>
    <row r="35" spans="1:4" s="8" customFormat="1" ht="36.75" customHeight="1" x14ac:dyDescent="0.25">
      <c r="A35" s="9" t="s">
        <v>62</v>
      </c>
      <c r="B35" s="18" t="s">
        <v>54</v>
      </c>
      <c r="C35" s="19" t="s">
        <v>6</v>
      </c>
      <c r="D35" s="66"/>
    </row>
    <row r="36" spans="1:4" s="4" customFormat="1" ht="15.75" x14ac:dyDescent="0.25">
      <c r="A36" s="10" t="s">
        <v>64</v>
      </c>
      <c r="B36" s="12" t="s">
        <v>63</v>
      </c>
      <c r="C36" s="10"/>
      <c r="D36" s="32"/>
    </row>
    <row r="37" spans="1:4" s="8" customFormat="1" ht="36.75" customHeight="1" x14ac:dyDescent="0.25">
      <c r="A37" s="5" t="s">
        <v>65</v>
      </c>
      <c r="B37" s="6" t="s">
        <v>67</v>
      </c>
      <c r="C37" s="7" t="s">
        <v>6</v>
      </c>
      <c r="D37" s="65"/>
    </row>
    <row r="38" spans="1:4" s="8" customFormat="1" ht="36.75" customHeight="1" x14ac:dyDescent="0.25">
      <c r="A38" s="17" t="s">
        <v>66</v>
      </c>
      <c r="B38" s="18" t="s">
        <v>68</v>
      </c>
      <c r="C38" s="19" t="s">
        <v>6</v>
      </c>
      <c r="D38" s="66"/>
    </row>
    <row r="39" spans="1:4" s="8" customFormat="1" ht="36.75" customHeight="1" x14ac:dyDescent="0.25">
      <c r="A39" s="5" t="s">
        <v>75</v>
      </c>
      <c r="B39" s="6" t="s">
        <v>69</v>
      </c>
      <c r="C39" s="7" t="s">
        <v>6</v>
      </c>
      <c r="D39" s="65"/>
    </row>
    <row r="40" spans="1:4" s="8" customFormat="1" ht="36.75" customHeight="1" x14ac:dyDescent="0.25">
      <c r="A40" s="17" t="s">
        <v>76</v>
      </c>
      <c r="B40" s="18" t="s">
        <v>70</v>
      </c>
      <c r="C40" s="19" t="s">
        <v>6</v>
      </c>
      <c r="D40" s="66"/>
    </row>
    <row r="41" spans="1:4" s="8" customFormat="1" ht="36.75" customHeight="1" x14ac:dyDescent="0.25">
      <c r="A41" s="5" t="s">
        <v>77</v>
      </c>
      <c r="B41" s="6" t="s">
        <v>71</v>
      </c>
      <c r="C41" s="7" t="s">
        <v>6</v>
      </c>
      <c r="D41" s="65"/>
    </row>
    <row r="42" spans="1:4" s="8" customFormat="1" ht="36.75" customHeight="1" x14ac:dyDescent="0.25">
      <c r="A42" s="17" t="s">
        <v>78</v>
      </c>
      <c r="B42" s="18" t="s">
        <v>72</v>
      </c>
      <c r="C42" s="19" t="s">
        <v>6</v>
      </c>
      <c r="D42" s="66"/>
    </row>
    <row r="43" spans="1:4" s="8" customFormat="1" ht="36.75" customHeight="1" x14ac:dyDescent="0.25">
      <c r="A43" s="14" t="s">
        <v>79</v>
      </c>
      <c r="B43" s="15" t="s">
        <v>73</v>
      </c>
      <c r="C43" s="16" t="s">
        <v>6</v>
      </c>
      <c r="D43" s="67"/>
    </row>
    <row r="44" spans="1:4" s="8" customFormat="1" ht="36.75" customHeight="1" x14ac:dyDescent="0.25">
      <c r="A44" s="17" t="s">
        <v>80</v>
      </c>
      <c r="B44" s="18" t="s">
        <v>74</v>
      </c>
      <c r="C44" s="19" t="s">
        <v>6</v>
      </c>
      <c r="D44" s="66"/>
    </row>
    <row r="45" spans="1:4" s="4" customFormat="1" ht="15.75" x14ac:dyDescent="0.25">
      <c r="A45" s="10" t="s">
        <v>82</v>
      </c>
      <c r="B45" s="12" t="s">
        <v>81</v>
      </c>
      <c r="C45" s="10"/>
      <c r="D45" s="32"/>
    </row>
    <row r="46" spans="1:4" s="8" customFormat="1" ht="36.75" customHeight="1" x14ac:dyDescent="0.25">
      <c r="A46" s="5" t="s">
        <v>83</v>
      </c>
      <c r="B46" s="6" t="s">
        <v>85</v>
      </c>
      <c r="C46" s="7" t="s">
        <v>6</v>
      </c>
      <c r="D46" s="65"/>
    </row>
    <row r="47" spans="1:4" s="8" customFormat="1" ht="36.75" customHeight="1" x14ac:dyDescent="0.25">
      <c r="A47" s="17" t="s">
        <v>84</v>
      </c>
      <c r="B47" s="18" t="s">
        <v>86</v>
      </c>
      <c r="C47" s="19" t="s">
        <v>6</v>
      </c>
      <c r="D47" s="66"/>
    </row>
    <row r="48" spans="1:4" s="8" customFormat="1" ht="36.75" customHeight="1" x14ac:dyDescent="0.25">
      <c r="A48" s="5" t="s">
        <v>94</v>
      </c>
      <c r="B48" s="6" t="s">
        <v>87</v>
      </c>
      <c r="C48" s="7" t="s">
        <v>6</v>
      </c>
      <c r="D48" s="65"/>
    </row>
    <row r="49" spans="1:4" s="8" customFormat="1" ht="36.75" customHeight="1" x14ac:dyDescent="0.25">
      <c r="A49" s="17" t="s">
        <v>95</v>
      </c>
      <c r="B49" s="18" t="s">
        <v>88</v>
      </c>
      <c r="C49" s="19" t="s">
        <v>6</v>
      </c>
      <c r="D49" s="66"/>
    </row>
    <row r="50" spans="1:4" s="8" customFormat="1" ht="36.75" customHeight="1" x14ac:dyDescent="0.25">
      <c r="A50" s="5" t="s">
        <v>96</v>
      </c>
      <c r="B50" s="6" t="s">
        <v>89</v>
      </c>
      <c r="C50" s="7" t="s">
        <v>6</v>
      </c>
      <c r="D50" s="65"/>
    </row>
    <row r="51" spans="1:4" s="8" customFormat="1" ht="36.75" customHeight="1" x14ac:dyDescent="0.25">
      <c r="A51" s="17" t="s">
        <v>97</v>
      </c>
      <c r="B51" s="18" t="s">
        <v>90</v>
      </c>
      <c r="C51" s="19" t="s">
        <v>6</v>
      </c>
      <c r="D51" s="66"/>
    </row>
    <row r="52" spans="1:4" s="8" customFormat="1" ht="36.75" customHeight="1" x14ac:dyDescent="0.25">
      <c r="A52" s="14" t="s">
        <v>98</v>
      </c>
      <c r="B52" s="15" t="s">
        <v>91</v>
      </c>
      <c r="C52" s="16" t="s">
        <v>6</v>
      </c>
      <c r="D52" s="67"/>
    </row>
    <row r="53" spans="1:4" s="8" customFormat="1" ht="36.75" customHeight="1" x14ac:dyDescent="0.25">
      <c r="A53" s="17" t="s">
        <v>99</v>
      </c>
      <c r="B53" s="18" t="s">
        <v>92</v>
      </c>
      <c r="C53" s="19" t="s">
        <v>6</v>
      </c>
      <c r="D53" s="66"/>
    </row>
    <row r="54" spans="1:4" s="8" customFormat="1" ht="15" customHeight="1" x14ac:dyDescent="0.25">
      <c r="A54" s="20" t="s">
        <v>100</v>
      </c>
      <c r="B54" s="21" t="s">
        <v>101</v>
      </c>
      <c r="C54" s="22"/>
      <c r="D54" s="34"/>
    </row>
    <row r="55" spans="1:4" s="8" customFormat="1" ht="36.75" customHeight="1" x14ac:dyDescent="0.25">
      <c r="A55" s="14" t="s">
        <v>102</v>
      </c>
      <c r="B55" s="15" t="s">
        <v>93</v>
      </c>
      <c r="C55" s="16" t="s">
        <v>7</v>
      </c>
      <c r="D55" s="67"/>
    </row>
    <row r="56" spans="1:4" s="8" customFormat="1" ht="15" customHeight="1" x14ac:dyDescent="0.25">
      <c r="A56" s="22" t="s">
        <v>117</v>
      </c>
      <c r="B56" s="21" t="s">
        <v>126</v>
      </c>
      <c r="C56" s="22"/>
      <c r="D56" s="39"/>
    </row>
    <row r="57" spans="1:4" s="8" customFormat="1" ht="36.75" customHeight="1" x14ac:dyDescent="0.25">
      <c r="A57" s="14" t="s">
        <v>118</v>
      </c>
      <c r="B57" s="15" t="s">
        <v>10</v>
      </c>
      <c r="C57" s="16" t="s">
        <v>6</v>
      </c>
      <c r="D57" s="67"/>
    </row>
    <row r="58" spans="1:4" s="8" customFormat="1" ht="36.75" customHeight="1" x14ac:dyDescent="0.25">
      <c r="A58" s="17" t="s">
        <v>119</v>
      </c>
      <c r="B58" s="18" t="s">
        <v>11</v>
      </c>
      <c r="C58" s="19" t="s">
        <v>6</v>
      </c>
      <c r="D58" s="66"/>
    </row>
    <row r="59" spans="1:4" s="8" customFormat="1" ht="36.75" customHeight="1" x14ac:dyDescent="0.25">
      <c r="A59" s="14" t="s">
        <v>120</v>
      </c>
      <c r="B59" s="15" t="s">
        <v>12</v>
      </c>
      <c r="C59" s="16" t="s">
        <v>6</v>
      </c>
      <c r="D59" s="67"/>
    </row>
    <row r="60" spans="1:4" s="8" customFormat="1" ht="36.75" customHeight="1" x14ac:dyDescent="0.25">
      <c r="A60" s="17" t="s">
        <v>121</v>
      </c>
      <c r="B60" s="18" t="s">
        <v>13</v>
      </c>
      <c r="C60" s="19" t="s">
        <v>6</v>
      </c>
      <c r="D60" s="66"/>
    </row>
    <row r="61" spans="1:4" s="8" customFormat="1" ht="36.75" customHeight="1" x14ac:dyDescent="0.25">
      <c r="A61" s="14" t="s">
        <v>122</v>
      </c>
      <c r="B61" s="15" t="s">
        <v>14</v>
      </c>
      <c r="C61" s="16" t="s">
        <v>6</v>
      </c>
      <c r="D61" s="67"/>
    </row>
    <row r="62" spans="1:4" s="8" customFormat="1" ht="36.75" customHeight="1" x14ac:dyDescent="0.25">
      <c r="A62" s="17" t="s">
        <v>123</v>
      </c>
      <c r="B62" s="18" t="s">
        <v>15</v>
      </c>
      <c r="C62" s="19" t="s">
        <v>6</v>
      </c>
      <c r="D62" s="66"/>
    </row>
    <row r="63" spans="1:4" s="8" customFormat="1" ht="36.75" customHeight="1" x14ac:dyDescent="0.25">
      <c r="A63" s="14" t="s">
        <v>124</v>
      </c>
      <c r="B63" s="15" t="s">
        <v>18</v>
      </c>
      <c r="C63" s="16" t="s">
        <v>6</v>
      </c>
      <c r="D63" s="67"/>
    </row>
    <row r="64" spans="1:4" s="8" customFormat="1" ht="36.75" customHeight="1" x14ac:dyDescent="0.25">
      <c r="A64" s="17" t="s">
        <v>125</v>
      </c>
      <c r="B64" s="18" t="s">
        <v>19</v>
      </c>
      <c r="C64" s="19" t="s">
        <v>6</v>
      </c>
      <c r="D64" s="66"/>
    </row>
    <row r="66" spans="1:2" ht="17.25" thickBot="1" x14ac:dyDescent="0.35"/>
    <row r="67" spans="1:2" x14ac:dyDescent="0.3">
      <c r="A67" s="55" t="s">
        <v>128</v>
      </c>
      <c r="B67" s="50"/>
    </row>
    <row r="68" spans="1:2" x14ac:dyDescent="0.3">
      <c r="A68" s="56" t="s">
        <v>129</v>
      </c>
      <c r="B68" s="52"/>
    </row>
    <row r="69" spans="1:2" x14ac:dyDescent="0.3">
      <c r="A69" s="51"/>
      <c r="B69" s="52"/>
    </row>
    <row r="70" spans="1:2" x14ac:dyDescent="0.3">
      <c r="A70" s="51"/>
      <c r="B70" s="52"/>
    </row>
    <row r="71" spans="1:2" x14ac:dyDescent="0.3">
      <c r="A71" s="51"/>
      <c r="B71" s="52"/>
    </row>
    <row r="72" spans="1:2" x14ac:dyDescent="0.3">
      <c r="A72" s="51"/>
      <c r="B72" s="52"/>
    </row>
    <row r="73" spans="1:2" ht="17.25" thickBot="1" x14ac:dyDescent="0.35">
      <c r="A73" s="53"/>
      <c r="B73" s="54"/>
    </row>
  </sheetData>
  <sheetProtection algorithmName="SHA-512" hashValue="1ynLHLqvjiOqFNveuBtXtr5qYHU+63Cj4rBEa0S2f9ys3E8DgACcSROVZdp80pv9z6gMNMWvJckFed8kTPKTfg==" saltValue="aQJ8AdN1OCaT9LEuld1WWA==" spinCount="100000" sheet="1" objects="1" scenarios="1"/>
  <mergeCells count="2">
    <mergeCell ref="A2:D2"/>
    <mergeCell ref="B1:D1"/>
  </mergeCells>
  <phoneticPr fontId="5" type="noConversion"/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85"/>
  <sheetViews>
    <sheetView showGridLines="0" topLeftCell="A59" zoomScale="85" zoomScaleNormal="85" workbookViewId="0">
      <selection activeCell="D82" sqref="D82"/>
    </sheetView>
  </sheetViews>
  <sheetFormatPr baseColWidth="10" defaultColWidth="11.42578125" defaultRowHeight="16.5" x14ac:dyDescent="0.3"/>
  <cols>
    <col min="1" max="1" width="12.85546875" style="2" customWidth="1"/>
    <col min="2" max="2" width="52.5703125" style="2" customWidth="1"/>
    <col min="3" max="3" width="11.42578125" style="3"/>
    <col min="4" max="4" width="18.7109375" style="3" customWidth="1"/>
    <col min="5" max="5" width="18.7109375" style="28" customWidth="1"/>
    <col min="6" max="6" width="19.42578125" style="29" customWidth="1"/>
    <col min="7" max="16384" width="11.42578125" style="2"/>
  </cols>
  <sheetData>
    <row r="1" spans="1:6" s="1" customFormat="1" ht="74.25" customHeight="1" x14ac:dyDescent="0.3">
      <c r="A1"/>
      <c r="B1" s="68" t="s">
        <v>130</v>
      </c>
      <c r="C1" s="68"/>
      <c r="D1" s="68"/>
      <c r="E1" s="68"/>
      <c r="F1" s="68"/>
    </row>
    <row r="2" spans="1:6" x14ac:dyDescent="0.3">
      <c r="A2" s="69" t="s">
        <v>103</v>
      </c>
      <c r="B2" s="70"/>
      <c r="C2" s="70"/>
      <c r="D2" s="70"/>
      <c r="E2" s="70"/>
      <c r="F2" s="71"/>
    </row>
    <row r="3" spans="1:6" ht="34.5" customHeight="1" x14ac:dyDescent="0.3">
      <c r="A3" s="2" t="s">
        <v>1</v>
      </c>
      <c r="B3" s="2" t="s">
        <v>8</v>
      </c>
    </row>
    <row r="4" spans="1:6" ht="19.5" customHeight="1" x14ac:dyDescent="0.3"/>
    <row r="5" spans="1:6" x14ac:dyDescent="0.3">
      <c r="A5" s="23" t="s">
        <v>104</v>
      </c>
      <c r="B5" s="24"/>
    </row>
    <row r="7" spans="1:6" s="13" customFormat="1" ht="47.25" x14ac:dyDescent="0.25">
      <c r="A7" s="25" t="s">
        <v>4</v>
      </c>
      <c r="B7" s="25" t="s">
        <v>5</v>
      </c>
      <c r="C7" s="25" t="s">
        <v>2</v>
      </c>
      <c r="D7" s="26" t="s">
        <v>105</v>
      </c>
      <c r="E7" s="30" t="s">
        <v>3</v>
      </c>
      <c r="F7" s="30" t="s">
        <v>106</v>
      </c>
    </row>
    <row r="8" spans="1:6" s="4" customFormat="1" ht="15.75" x14ac:dyDescent="0.25">
      <c r="A8" s="10" t="s">
        <v>16</v>
      </c>
      <c r="B8" s="12" t="s">
        <v>9</v>
      </c>
      <c r="C8" s="10"/>
      <c r="D8" s="10"/>
      <c r="E8" s="31"/>
      <c r="F8" s="32"/>
    </row>
    <row r="9" spans="1:6" s="8" customFormat="1" ht="36.75" customHeight="1" x14ac:dyDescent="0.25">
      <c r="A9" s="5" t="s">
        <v>17</v>
      </c>
      <c r="B9" s="6" t="s">
        <v>10</v>
      </c>
      <c r="C9" s="7" t="s">
        <v>6</v>
      </c>
      <c r="D9" s="7">
        <v>6800</v>
      </c>
      <c r="E9" s="60"/>
      <c r="F9" s="34">
        <f>+D9*E9</f>
        <v>0</v>
      </c>
    </row>
    <row r="10" spans="1:6" s="8" customFormat="1" ht="36.75" customHeight="1" x14ac:dyDescent="0.25">
      <c r="A10" s="17" t="s">
        <v>20</v>
      </c>
      <c r="B10" s="18" t="s">
        <v>11</v>
      </c>
      <c r="C10" s="19" t="s">
        <v>6</v>
      </c>
      <c r="D10" s="19">
        <v>2234</v>
      </c>
      <c r="E10" s="61"/>
      <c r="F10" s="34">
        <f>+E10*D10</f>
        <v>0</v>
      </c>
    </row>
    <row r="11" spans="1:6" s="8" customFormat="1" ht="36.75" customHeight="1" x14ac:dyDescent="0.25">
      <c r="A11" s="5" t="s">
        <v>21</v>
      </c>
      <c r="B11" s="6" t="s">
        <v>12</v>
      </c>
      <c r="C11" s="7" t="s">
        <v>6</v>
      </c>
      <c r="D11" s="7">
        <v>1529</v>
      </c>
      <c r="E11" s="60"/>
      <c r="F11" s="34">
        <f>+E11*D11</f>
        <v>0</v>
      </c>
    </row>
    <row r="12" spans="1:6" s="8" customFormat="1" ht="36.75" customHeight="1" x14ac:dyDescent="0.25">
      <c r="A12" s="17" t="s">
        <v>22</v>
      </c>
      <c r="B12" s="18" t="s">
        <v>13</v>
      </c>
      <c r="C12" s="19" t="s">
        <v>6</v>
      </c>
      <c r="D12" s="19">
        <v>489</v>
      </c>
      <c r="E12" s="61"/>
      <c r="F12" s="34">
        <f>+E12*D12</f>
        <v>0</v>
      </c>
    </row>
    <row r="13" spans="1:6" s="8" customFormat="1" ht="36.75" customHeight="1" x14ac:dyDescent="0.25">
      <c r="A13" s="14" t="s">
        <v>23</v>
      </c>
      <c r="B13" s="15" t="s">
        <v>14</v>
      </c>
      <c r="C13" s="16" t="s">
        <v>6</v>
      </c>
      <c r="D13" s="16">
        <v>52</v>
      </c>
      <c r="E13" s="62"/>
      <c r="F13" s="58">
        <f>+E13*D13</f>
        <v>0</v>
      </c>
    </row>
    <row r="14" spans="1:6" s="8" customFormat="1" ht="36.75" customHeight="1" x14ac:dyDescent="0.25">
      <c r="A14" s="17" t="s">
        <v>24</v>
      </c>
      <c r="B14" s="18" t="s">
        <v>15</v>
      </c>
      <c r="C14" s="19" t="s">
        <v>6</v>
      </c>
      <c r="D14" s="19">
        <v>32</v>
      </c>
      <c r="E14" s="61"/>
      <c r="F14" s="34">
        <f>+E14*D14</f>
        <v>0</v>
      </c>
    </row>
    <row r="15" spans="1:6" s="8" customFormat="1" ht="15.75" customHeight="1" x14ac:dyDescent="0.25">
      <c r="A15" s="35"/>
      <c r="B15" s="36"/>
      <c r="C15" s="4"/>
      <c r="D15" s="40" t="s">
        <v>107</v>
      </c>
      <c r="E15" s="38"/>
      <c r="F15" s="41">
        <f>SUM(F9:F14)</f>
        <v>0</v>
      </c>
    </row>
    <row r="16" spans="1:6" s="8" customFormat="1" ht="16.5" customHeight="1" x14ac:dyDescent="0.25">
      <c r="A16" s="35"/>
      <c r="B16" s="36"/>
      <c r="C16" s="4"/>
      <c r="D16" s="4"/>
      <c r="E16" s="38"/>
      <c r="F16" s="37"/>
    </row>
    <row r="17" spans="1:6" s="4" customFormat="1" ht="15.75" x14ac:dyDescent="0.25">
      <c r="A17" s="22" t="s">
        <v>36</v>
      </c>
      <c r="B17" s="21" t="s">
        <v>27</v>
      </c>
      <c r="C17" s="22"/>
      <c r="D17" s="22"/>
      <c r="E17" s="33"/>
      <c r="F17" s="39"/>
    </row>
    <row r="18" spans="1:6" s="8" customFormat="1" ht="36.75" customHeight="1" x14ac:dyDescent="0.25">
      <c r="A18" s="5" t="s">
        <v>37</v>
      </c>
      <c r="B18" s="6" t="s">
        <v>28</v>
      </c>
      <c r="C18" s="7" t="s">
        <v>6</v>
      </c>
      <c r="D18" s="7">
        <v>152</v>
      </c>
      <c r="E18" s="60"/>
      <c r="F18" s="27">
        <f>+D18*E18</f>
        <v>0</v>
      </c>
    </row>
    <row r="19" spans="1:6" s="8" customFormat="1" ht="36.75" customHeight="1" x14ac:dyDescent="0.25">
      <c r="A19" s="17" t="s">
        <v>38</v>
      </c>
      <c r="B19" s="18" t="s">
        <v>29</v>
      </c>
      <c r="C19" s="19" t="s">
        <v>6</v>
      </c>
      <c r="D19" s="19">
        <v>114</v>
      </c>
      <c r="E19" s="61"/>
      <c r="F19" s="34">
        <f>+D19*E19</f>
        <v>0</v>
      </c>
    </row>
    <row r="20" spans="1:6" s="8" customFormat="1" ht="36.75" customHeight="1" x14ac:dyDescent="0.25">
      <c r="A20" s="5" t="s">
        <v>39</v>
      </c>
      <c r="B20" s="6" t="s">
        <v>30</v>
      </c>
      <c r="C20" s="7" t="s">
        <v>6</v>
      </c>
      <c r="D20" s="7">
        <v>49</v>
      </c>
      <c r="E20" s="60"/>
      <c r="F20" s="27">
        <f>+D20*E20</f>
        <v>0</v>
      </c>
    </row>
    <row r="21" spans="1:6" s="8" customFormat="1" ht="36.75" customHeight="1" x14ac:dyDescent="0.25">
      <c r="A21" s="17" t="s">
        <v>40</v>
      </c>
      <c r="B21" s="18" t="s">
        <v>31</v>
      </c>
      <c r="C21" s="19" t="s">
        <v>6</v>
      </c>
      <c r="D21" s="19">
        <v>26</v>
      </c>
      <c r="E21" s="61"/>
      <c r="F21" s="34">
        <f>+D21*E21</f>
        <v>0</v>
      </c>
    </row>
    <row r="22" spans="1:6" s="8" customFormat="1" ht="15.75" customHeight="1" x14ac:dyDescent="0.25">
      <c r="A22" s="35"/>
      <c r="B22" s="36"/>
      <c r="C22" s="4"/>
      <c r="D22" s="40" t="s">
        <v>108</v>
      </c>
      <c r="E22" s="38"/>
      <c r="F22" s="43">
        <f>SUM(F18:F21)</f>
        <v>0</v>
      </c>
    </row>
    <row r="23" spans="1:6" s="8" customFormat="1" ht="15.75" customHeight="1" x14ac:dyDescent="0.25">
      <c r="A23" s="35"/>
      <c r="B23" s="36"/>
      <c r="C23" s="4"/>
      <c r="D23" s="40"/>
      <c r="E23" s="38"/>
      <c r="F23" s="42"/>
    </row>
    <row r="24" spans="1:6" s="4" customFormat="1" ht="15.75" x14ac:dyDescent="0.25">
      <c r="A24" s="10" t="s">
        <v>46</v>
      </c>
      <c r="B24" s="12" t="s">
        <v>45</v>
      </c>
      <c r="C24" s="10"/>
      <c r="D24" s="10"/>
      <c r="E24" s="31"/>
      <c r="F24" s="39"/>
    </row>
    <row r="25" spans="1:6" s="8" customFormat="1" ht="36.75" customHeight="1" x14ac:dyDescent="0.25">
      <c r="A25" s="5" t="s">
        <v>55</v>
      </c>
      <c r="B25" s="6" t="s">
        <v>47</v>
      </c>
      <c r="C25" s="7" t="s">
        <v>6</v>
      </c>
      <c r="D25" s="7">
        <v>1225</v>
      </c>
      <c r="E25" s="60"/>
      <c r="F25" s="27">
        <f>+D25*E25</f>
        <v>0</v>
      </c>
    </row>
    <row r="26" spans="1:6" s="8" customFormat="1" ht="36.75" customHeight="1" x14ac:dyDescent="0.25">
      <c r="A26" s="17" t="s">
        <v>56</v>
      </c>
      <c r="B26" s="18" t="s">
        <v>48</v>
      </c>
      <c r="C26" s="19" t="s">
        <v>6</v>
      </c>
      <c r="D26" s="19">
        <v>57</v>
      </c>
      <c r="E26" s="61"/>
      <c r="F26" s="34">
        <f t="shared" ref="F26:F30" si="0">+D26*E26</f>
        <v>0</v>
      </c>
    </row>
    <row r="27" spans="1:6" s="8" customFormat="1" ht="36.75" customHeight="1" x14ac:dyDescent="0.25">
      <c r="A27" s="5" t="s">
        <v>57</v>
      </c>
      <c r="B27" s="6" t="s">
        <v>49</v>
      </c>
      <c r="C27" s="7" t="s">
        <v>6</v>
      </c>
      <c r="D27" s="7">
        <v>217</v>
      </c>
      <c r="E27" s="60"/>
      <c r="F27" s="27">
        <f t="shared" si="0"/>
        <v>0</v>
      </c>
    </row>
    <row r="28" spans="1:6" s="8" customFormat="1" ht="36.75" customHeight="1" x14ac:dyDescent="0.25">
      <c r="A28" s="17" t="s">
        <v>58</v>
      </c>
      <c r="B28" s="18" t="s">
        <v>50</v>
      </c>
      <c r="C28" s="19" t="s">
        <v>6</v>
      </c>
      <c r="D28" s="19">
        <v>8</v>
      </c>
      <c r="E28" s="61"/>
      <c r="F28" s="34">
        <f t="shared" si="0"/>
        <v>0</v>
      </c>
    </row>
    <row r="29" spans="1:6" s="8" customFormat="1" ht="36.75" customHeight="1" x14ac:dyDescent="0.25">
      <c r="A29" s="14" t="s">
        <v>59</v>
      </c>
      <c r="B29" s="15" t="s">
        <v>51</v>
      </c>
      <c r="C29" s="16" t="s">
        <v>6</v>
      </c>
      <c r="D29" s="16">
        <v>9</v>
      </c>
      <c r="E29" s="62"/>
      <c r="F29" s="59">
        <f t="shared" si="0"/>
        <v>0</v>
      </c>
    </row>
    <row r="30" spans="1:6" s="8" customFormat="1" ht="36.75" customHeight="1" x14ac:dyDescent="0.25">
      <c r="A30" s="17" t="s">
        <v>60</v>
      </c>
      <c r="B30" s="18" t="s">
        <v>52</v>
      </c>
      <c r="C30" s="19" t="s">
        <v>6</v>
      </c>
      <c r="D30" s="19">
        <v>5</v>
      </c>
      <c r="E30" s="61"/>
      <c r="F30" s="27">
        <f t="shared" si="0"/>
        <v>0</v>
      </c>
    </row>
    <row r="31" spans="1:6" s="8" customFormat="1" ht="15.75" customHeight="1" x14ac:dyDescent="0.25">
      <c r="A31" s="35"/>
      <c r="B31" s="36"/>
      <c r="C31" s="4"/>
      <c r="D31" s="40" t="s">
        <v>109</v>
      </c>
      <c r="E31" s="38"/>
      <c r="F31" s="41">
        <f>SUM(F25:F30)</f>
        <v>0</v>
      </c>
    </row>
    <row r="32" spans="1:6" s="8" customFormat="1" ht="45.75" customHeight="1" x14ac:dyDescent="0.25">
      <c r="A32" s="35"/>
      <c r="B32" s="36"/>
      <c r="C32" s="4"/>
      <c r="D32" s="40"/>
      <c r="E32" s="38"/>
      <c r="F32" s="42"/>
    </row>
    <row r="33" spans="1:6" s="4" customFormat="1" ht="15.75" x14ac:dyDescent="0.25">
      <c r="A33" s="10" t="s">
        <v>64</v>
      </c>
      <c r="B33" s="12" t="s">
        <v>63</v>
      </c>
      <c r="C33" s="10"/>
      <c r="D33" s="10"/>
      <c r="E33" s="31"/>
      <c r="F33" s="32"/>
    </row>
    <row r="34" spans="1:6" s="8" customFormat="1" ht="36.75" customHeight="1" x14ac:dyDescent="0.25">
      <c r="A34" s="5" t="s">
        <v>65</v>
      </c>
      <c r="B34" s="6" t="s">
        <v>67</v>
      </c>
      <c r="C34" s="7" t="s">
        <v>6</v>
      </c>
      <c r="D34" s="7">
        <v>2657</v>
      </c>
      <c r="E34" s="60"/>
      <c r="F34" s="27">
        <f>+D34*E34</f>
        <v>0</v>
      </c>
    </row>
    <row r="35" spans="1:6" s="8" customFormat="1" ht="36.75" customHeight="1" x14ac:dyDescent="0.25">
      <c r="A35" s="17" t="s">
        <v>66</v>
      </c>
      <c r="B35" s="18" t="s">
        <v>68</v>
      </c>
      <c r="C35" s="19" t="s">
        <v>6</v>
      </c>
      <c r="D35" s="19">
        <v>189</v>
      </c>
      <c r="E35" s="61"/>
      <c r="F35" s="34">
        <f t="shared" ref="F35:F39" si="1">+D35*E35</f>
        <v>0</v>
      </c>
    </row>
    <row r="36" spans="1:6" s="8" customFormat="1" ht="36.75" customHeight="1" x14ac:dyDescent="0.25">
      <c r="A36" s="5" t="s">
        <v>75</v>
      </c>
      <c r="B36" s="6" t="s">
        <v>69</v>
      </c>
      <c r="C36" s="7" t="s">
        <v>6</v>
      </c>
      <c r="D36" s="7">
        <v>847</v>
      </c>
      <c r="E36" s="60"/>
      <c r="F36" s="27">
        <f t="shared" si="1"/>
        <v>0</v>
      </c>
    </row>
    <row r="37" spans="1:6" s="8" customFormat="1" ht="36.75" customHeight="1" x14ac:dyDescent="0.25">
      <c r="A37" s="17" t="s">
        <v>76</v>
      </c>
      <c r="B37" s="18" t="s">
        <v>70</v>
      </c>
      <c r="C37" s="19" t="s">
        <v>6</v>
      </c>
      <c r="D37" s="19">
        <v>30</v>
      </c>
      <c r="E37" s="61"/>
      <c r="F37" s="34">
        <f t="shared" si="1"/>
        <v>0</v>
      </c>
    </row>
    <row r="38" spans="1:6" s="8" customFormat="1" ht="36.75" customHeight="1" x14ac:dyDescent="0.25">
      <c r="A38" s="5" t="s">
        <v>77</v>
      </c>
      <c r="B38" s="6" t="s">
        <v>71</v>
      </c>
      <c r="C38" s="7" t="s">
        <v>6</v>
      </c>
      <c r="D38" s="7">
        <v>30</v>
      </c>
      <c r="E38" s="60"/>
      <c r="F38" s="59">
        <f t="shared" si="1"/>
        <v>0</v>
      </c>
    </row>
    <row r="39" spans="1:6" s="8" customFormat="1" ht="36.75" customHeight="1" x14ac:dyDescent="0.25">
      <c r="A39" s="17" t="s">
        <v>78</v>
      </c>
      <c r="B39" s="18" t="s">
        <v>72</v>
      </c>
      <c r="C39" s="19" t="s">
        <v>6</v>
      </c>
      <c r="D39" s="19">
        <v>12</v>
      </c>
      <c r="E39" s="61"/>
      <c r="F39" s="27">
        <f t="shared" si="1"/>
        <v>0</v>
      </c>
    </row>
    <row r="40" spans="1:6" s="8" customFormat="1" ht="15.75" customHeight="1" x14ac:dyDescent="0.25">
      <c r="A40" s="35"/>
      <c r="B40" s="36"/>
      <c r="C40" s="4"/>
      <c r="D40" s="40" t="s">
        <v>110</v>
      </c>
      <c r="E40" s="38"/>
      <c r="F40" s="41">
        <f>SUM(F34:F39)</f>
        <v>0</v>
      </c>
    </row>
    <row r="41" spans="1:6" s="8" customFormat="1" ht="15.75" customHeight="1" x14ac:dyDescent="0.25">
      <c r="A41" s="35"/>
      <c r="B41" s="36"/>
      <c r="C41" s="4"/>
      <c r="D41" s="40"/>
      <c r="E41" s="38"/>
      <c r="F41" s="42"/>
    </row>
    <row r="42" spans="1:6" s="4" customFormat="1" ht="15.75" x14ac:dyDescent="0.25">
      <c r="A42" s="10" t="s">
        <v>82</v>
      </c>
      <c r="B42" s="12" t="s">
        <v>81</v>
      </c>
      <c r="C42" s="10"/>
      <c r="D42" s="10"/>
      <c r="E42" s="31"/>
      <c r="F42" s="32"/>
    </row>
    <row r="43" spans="1:6" s="8" customFormat="1" ht="36.75" customHeight="1" x14ac:dyDescent="0.25">
      <c r="A43" s="5" t="s">
        <v>83</v>
      </c>
      <c r="B43" s="6" t="s">
        <v>85</v>
      </c>
      <c r="C43" s="7" t="s">
        <v>6</v>
      </c>
      <c r="D43" s="7">
        <v>927</v>
      </c>
      <c r="E43" s="60"/>
      <c r="F43" s="27">
        <f>+D43*E43</f>
        <v>0</v>
      </c>
    </row>
    <row r="44" spans="1:6" s="8" customFormat="1" ht="36.75" customHeight="1" x14ac:dyDescent="0.25">
      <c r="A44" s="17" t="s">
        <v>84</v>
      </c>
      <c r="B44" s="18" t="s">
        <v>86</v>
      </c>
      <c r="C44" s="19" t="s">
        <v>6</v>
      </c>
      <c r="D44" s="19">
        <v>55</v>
      </c>
      <c r="E44" s="61"/>
      <c r="F44" s="34">
        <f t="shared" ref="F44:F48" si="2">+D44*E44</f>
        <v>0</v>
      </c>
    </row>
    <row r="45" spans="1:6" s="8" customFormat="1" ht="36.75" customHeight="1" x14ac:dyDescent="0.25">
      <c r="A45" s="5" t="s">
        <v>94</v>
      </c>
      <c r="B45" s="6" t="s">
        <v>87</v>
      </c>
      <c r="C45" s="7" t="s">
        <v>6</v>
      </c>
      <c r="D45" s="7">
        <v>272</v>
      </c>
      <c r="E45" s="60"/>
      <c r="F45" s="27">
        <f t="shared" si="2"/>
        <v>0</v>
      </c>
    </row>
    <row r="46" spans="1:6" s="8" customFormat="1" ht="36.75" customHeight="1" x14ac:dyDescent="0.25">
      <c r="A46" s="17" t="s">
        <v>95</v>
      </c>
      <c r="B46" s="18" t="s">
        <v>88</v>
      </c>
      <c r="C46" s="19" t="s">
        <v>6</v>
      </c>
      <c r="D46" s="19">
        <v>6</v>
      </c>
      <c r="E46" s="61"/>
      <c r="F46" s="34">
        <f t="shared" si="2"/>
        <v>0</v>
      </c>
    </row>
    <row r="47" spans="1:6" s="8" customFormat="1" ht="36.75" customHeight="1" x14ac:dyDescent="0.25">
      <c r="A47" s="5" t="s">
        <v>96</v>
      </c>
      <c r="B47" s="6" t="s">
        <v>89</v>
      </c>
      <c r="C47" s="7" t="s">
        <v>6</v>
      </c>
      <c r="D47" s="7">
        <v>14</v>
      </c>
      <c r="E47" s="60"/>
      <c r="F47" s="27">
        <f t="shared" si="2"/>
        <v>0</v>
      </c>
    </row>
    <row r="48" spans="1:6" s="8" customFormat="1" ht="36.75" customHeight="1" x14ac:dyDescent="0.25">
      <c r="A48" s="17" t="s">
        <v>97</v>
      </c>
      <c r="B48" s="18" t="s">
        <v>90</v>
      </c>
      <c r="C48" s="19" t="s">
        <v>6</v>
      </c>
      <c r="D48" s="19">
        <v>6</v>
      </c>
      <c r="E48" s="61"/>
      <c r="F48" s="34">
        <f t="shared" si="2"/>
        <v>0</v>
      </c>
    </row>
    <row r="49" spans="1:6" s="8" customFormat="1" ht="15.75" customHeight="1" x14ac:dyDescent="0.25">
      <c r="A49" s="35"/>
      <c r="B49" s="36"/>
      <c r="C49" s="4"/>
      <c r="D49" s="40" t="s">
        <v>111</v>
      </c>
      <c r="E49" s="38"/>
      <c r="F49" s="41">
        <f>SUM(F43:F48)</f>
        <v>0</v>
      </c>
    </row>
    <row r="50" spans="1:6" s="8" customFormat="1" ht="15.75" customHeight="1" x14ac:dyDescent="0.25">
      <c r="A50" s="35"/>
      <c r="B50" s="36"/>
      <c r="C50" s="4"/>
      <c r="D50" s="40"/>
      <c r="E50" s="38"/>
      <c r="F50" s="42"/>
    </row>
    <row r="51" spans="1:6" s="8" customFormat="1" ht="15" customHeight="1" x14ac:dyDescent="0.25">
      <c r="A51" s="20" t="s">
        <v>100</v>
      </c>
      <c r="B51" s="21" t="s">
        <v>101</v>
      </c>
      <c r="C51" s="22"/>
      <c r="D51" s="22"/>
      <c r="E51" s="33"/>
      <c r="F51" s="34"/>
    </row>
    <row r="52" spans="1:6" s="8" customFormat="1" ht="36.75" customHeight="1" x14ac:dyDescent="0.25">
      <c r="A52" s="20" t="s">
        <v>102</v>
      </c>
      <c r="B52" s="44" t="s">
        <v>93</v>
      </c>
      <c r="C52" s="22" t="s">
        <v>7</v>
      </c>
      <c r="D52" s="22">
        <v>190</v>
      </c>
      <c r="E52" s="63"/>
      <c r="F52" s="34">
        <f>+D52*E52</f>
        <v>0</v>
      </c>
    </row>
    <row r="53" spans="1:6" s="8" customFormat="1" ht="15.75" customHeight="1" x14ac:dyDescent="0.25">
      <c r="A53" s="35"/>
      <c r="B53" s="36"/>
      <c r="C53" s="4"/>
      <c r="D53" s="40" t="s">
        <v>112</v>
      </c>
      <c r="E53" s="38"/>
      <c r="F53" s="43">
        <f>F52</f>
        <v>0</v>
      </c>
    </row>
    <row r="54" spans="1:6" s="8" customFormat="1" ht="15.75" customHeight="1" x14ac:dyDescent="0.25">
      <c r="A54" s="35"/>
      <c r="B54" s="36"/>
      <c r="C54" s="4"/>
      <c r="D54" s="40"/>
      <c r="E54" s="38"/>
      <c r="F54" s="42"/>
    </row>
    <row r="55" spans="1:6" s="8" customFormat="1" ht="15" customHeight="1" x14ac:dyDescent="0.25">
      <c r="A55" s="10" t="s">
        <v>117</v>
      </c>
      <c r="B55" s="12" t="s">
        <v>126</v>
      </c>
      <c r="C55" s="10"/>
      <c r="D55" s="11"/>
      <c r="E55" s="33"/>
      <c r="F55" s="34"/>
    </row>
    <row r="56" spans="1:6" s="8" customFormat="1" ht="36.75" customHeight="1" x14ac:dyDescent="0.25">
      <c r="A56" s="5" t="s">
        <v>118</v>
      </c>
      <c r="B56" s="6" t="s">
        <v>10</v>
      </c>
      <c r="C56" s="7" t="s">
        <v>6</v>
      </c>
      <c r="D56" s="7">
        <v>455</v>
      </c>
      <c r="E56" s="60"/>
      <c r="F56" s="27">
        <f>+D56*E56</f>
        <v>0</v>
      </c>
    </row>
    <row r="57" spans="1:6" s="8" customFormat="1" ht="36.75" customHeight="1" x14ac:dyDescent="0.25">
      <c r="A57" s="17" t="s">
        <v>119</v>
      </c>
      <c r="B57" s="18" t="s">
        <v>11</v>
      </c>
      <c r="C57" s="19" t="s">
        <v>6</v>
      </c>
      <c r="D57" s="19">
        <v>290</v>
      </c>
      <c r="E57" s="61"/>
      <c r="F57" s="34">
        <f t="shared" ref="F57:F63" si="3">+D57*E57</f>
        <v>0</v>
      </c>
    </row>
    <row r="58" spans="1:6" s="8" customFormat="1" ht="36.75" customHeight="1" x14ac:dyDescent="0.25">
      <c r="A58" s="5" t="s">
        <v>120</v>
      </c>
      <c r="B58" s="6" t="s">
        <v>12</v>
      </c>
      <c r="C58" s="7" t="s">
        <v>6</v>
      </c>
      <c r="D58" s="7">
        <v>91</v>
      </c>
      <c r="E58" s="60"/>
      <c r="F58" s="27">
        <f t="shared" si="3"/>
        <v>0</v>
      </c>
    </row>
    <row r="59" spans="1:6" s="8" customFormat="1" ht="36.75" customHeight="1" x14ac:dyDescent="0.25">
      <c r="A59" s="17" t="s">
        <v>121</v>
      </c>
      <c r="B59" s="18" t="s">
        <v>13</v>
      </c>
      <c r="C59" s="19" t="s">
        <v>6</v>
      </c>
      <c r="D59" s="19">
        <v>43</v>
      </c>
      <c r="E59" s="61"/>
      <c r="F59" s="34">
        <f t="shared" si="3"/>
        <v>0</v>
      </c>
    </row>
    <row r="60" spans="1:6" s="8" customFormat="1" ht="36.75" customHeight="1" x14ac:dyDescent="0.25">
      <c r="A60" s="5" t="s">
        <v>122</v>
      </c>
      <c r="B60" s="6" t="s">
        <v>14</v>
      </c>
      <c r="C60" s="7" t="s">
        <v>6</v>
      </c>
      <c r="D60" s="7">
        <v>3</v>
      </c>
      <c r="E60" s="60"/>
      <c r="F60" s="27">
        <f t="shared" si="3"/>
        <v>0</v>
      </c>
    </row>
    <row r="61" spans="1:6" s="8" customFormat="1" ht="36.75" customHeight="1" x14ac:dyDescent="0.25">
      <c r="A61" s="17" t="s">
        <v>123</v>
      </c>
      <c r="B61" s="18" t="s">
        <v>15</v>
      </c>
      <c r="C61" s="19" t="s">
        <v>6</v>
      </c>
      <c r="D61" s="19">
        <v>5</v>
      </c>
      <c r="E61" s="61"/>
      <c r="F61" s="34">
        <f t="shared" si="3"/>
        <v>0</v>
      </c>
    </row>
    <row r="62" spans="1:6" s="8" customFormat="1" ht="36.75" customHeight="1" x14ac:dyDescent="0.25">
      <c r="A62" s="5" t="s">
        <v>124</v>
      </c>
      <c r="B62" s="6" t="s">
        <v>18</v>
      </c>
      <c r="C62" s="7" t="s">
        <v>6</v>
      </c>
      <c r="D62" s="7">
        <v>1</v>
      </c>
      <c r="E62" s="60"/>
      <c r="F62" s="27">
        <f t="shared" si="3"/>
        <v>0</v>
      </c>
    </row>
    <row r="63" spans="1:6" s="8" customFormat="1" ht="36.75" customHeight="1" x14ac:dyDescent="0.25">
      <c r="A63" s="17" t="s">
        <v>125</v>
      </c>
      <c r="B63" s="18" t="s">
        <v>19</v>
      </c>
      <c r="C63" s="19" t="s">
        <v>6</v>
      </c>
      <c r="D63" s="19">
        <v>1</v>
      </c>
      <c r="E63" s="61"/>
      <c r="F63" s="34">
        <f t="shared" si="3"/>
        <v>0</v>
      </c>
    </row>
    <row r="64" spans="1:6" x14ac:dyDescent="0.3">
      <c r="D64" s="40" t="s">
        <v>127</v>
      </c>
      <c r="F64" s="43">
        <f>SUM(F56:F63)</f>
        <v>0</v>
      </c>
    </row>
    <row r="65" spans="1:6" ht="35.25" customHeight="1" x14ac:dyDescent="0.3"/>
    <row r="66" spans="1:6" x14ac:dyDescent="0.3">
      <c r="A66" s="48" t="s">
        <v>113</v>
      </c>
      <c r="B66" s="49"/>
    </row>
    <row r="67" spans="1:6" s="8" customFormat="1" ht="15.75" customHeight="1" x14ac:dyDescent="0.25">
      <c r="A67" s="35"/>
      <c r="B67" s="36"/>
      <c r="C67" s="4"/>
      <c r="D67" s="45" t="s">
        <v>107</v>
      </c>
      <c r="E67" s="38"/>
      <c r="F67" s="41">
        <f>F15</f>
        <v>0</v>
      </c>
    </row>
    <row r="68" spans="1:6" s="8" customFormat="1" ht="15.75" customHeight="1" x14ac:dyDescent="0.25">
      <c r="A68" s="35"/>
      <c r="B68" s="36"/>
      <c r="C68" s="4"/>
      <c r="D68" s="45" t="s">
        <v>108</v>
      </c>
      <c r="E68" s="38"/>
      <c r="F68" s="41">
        <f>F22</f>
        <v>0</v>
      </c>
    </row>
    <row r="69" spans="1:6" s="8" customFormat="1" ht="15.75" customHeight="1" x14ac:dyDescent="0.25">
      <c r="A69" s="35"/>
      <c r="B69" s="36"/>
      <c r="C69" s="4"/>
      <c r="D69" s="45" t="s">
        <v>109</v>
      </c>
      <c r="E69" s="38"/>
      <c r="F69" s="41">
        <f>F31</f>
        <v>0</v>
      </c>
    </row>
    <row r="70" spans="1:6" s="8" customFormat="1" ht="15.75" customHeight="1" x14ac:dyDescent="0.25">
      <c r="A70" s="35"/>
      <c r="B70" s="36"/>
      <c r="C70" s="4"/>
      <c r="D70" s="45" t="s">
        <v>110</v>
      </c>
      <c r="E70" s="38"/>
      <c r="F70" s="41">
        <f>F40</f>
        <v>0</v>
      </c>
    </row>
    <row r="71" spans="1:6" s="8" customFormat="1" ht="15.75" customHeight="1" x14ac:dyDescent="0.25">
      <c r="A71" s="35"/>
      <c r="B71" s="36"/>
      <c r="C71" s="4"/>
      <c r="D71" s="45" t="s">
        <v>111</v>
      </c>
      <c r="E71" s="38"/>
      <c r="F71" s="41">
        <f>F49</f>
        <v>0</v>
      </c>
    </row>
    <row r="72" spans="1:6" s="8" customFormat="1" ht="15.75" customHeight="1" x14ac:dyDescent="0.25">
      <c r="A72" s="35"/>
      <c r="B72" s="36"/>
      <c r="C72" s="4"/>
      <c r="D72" s="45" t="s">
        <v>112</v>
      </c>
      <c r="E72" s="38"/>
      <c r="F72" s="43">
        <f>F53</f>
        <v>0</v>
      </c>
    </row>
    <row r="73" spans="1:6" s="8" customFormat="1" ht="15.75" customHeight="1" x14ac:dyDescent="0.25">
      <c r="A73" s="35"/>
      <c r="C73" s="4"/>
      <c r="D73" s="45" t="s">
        <v>127</v>
      </c>
      <c r="E73" s="38"/>
      <c r="F73" s="43">
        <f>F64</f>
        <v>0</v>
      </c>
    </row>
    <row r="75" spans="1:6" x14ac:dyDescent="0.3">
      <c r="D75" s="46" t="s">
        <v>114</v>
      </c>
      <c r="F75" s="47">
        <f>+F67+F68+F69+F70+F71+F72+F73</f>
        <v>0</v>
      </c>
    </row>
    <row r="76" spans="1:6" x14ac:dyDescent="0.3">
      <c r="D76" s="46" t="s">
        <v>115</v>
      </c>
      <c r="F76" s="47">
        <f>+F75*20/100</f>
        <v>0</v>
      </c>
    </row>
    <row r="77" spans="1:6" x14ac:dyDescent="0.3">
      <c r="D77" s="46" t="s">
        <v>116</v>
      </c>
      <c r="F77" s="47">
        <f>+F75+F76</f>
        <v>0</v>
      </c>
    </row>
    <row r="78" spans="1:6" ht="17.25" thickBot="1" x14ac:dyDescent="0.35"/>
    <row r="79" spans="1:6" x14ac:dyDescent="0.3">
      <c r="A79" s="55" t="s">
        <v>128</v>
      </c>
      <c r="B79" s="50"/>
    </row>
    <row r="80" spans="1:6" x14ac:dyDescent="0.3">
      <c r="A80" s="56" t="s">
        <v>129</v>
      </c>
      <c r="B80" s="52"/>
    </row>
    <row r="81" spans="1:2" x14ac:dyDescent="0.3">
      <c r="A81" s="51"/>
      <c r="B81" s="52"/>
    </row>
    <row r="82" spans="1:2" x14ac:dyDescent="0.3">
      <c r="A82" s="51"/>
      <c r="B82" s="52"/>
    </row>
    <row r="83" spans="1:2" x14ac:dyDescent="0.3">
      <c r="A83" s="51"/>
      <c r="B83" s="52"/>
    </row>
    <row r="84" spans="1:2" x14ac:dyDescent="0.3">
      <c r="A84" s="51"/>
      <c r="B84" s="52"/>
    </row>
    <row r="85" spans="1:2" ht="17.25" thickBot="1" x14ac:dyDescent="0.35">
      <c r="A85" s="53"/>
      <c r="B85" s="54"/>
    </row>
  </sheetData>
  <sheetProtection algorithmName="SHA-512" hashValue="aRIjqaL1xm8D2L4qhliFyJDnnmaRIv4Yql/kth4zs48RZ4qLi8TozfqQ3Uixf3dIglrHk+kIkl0hgz5zdM1lGw==" saltValue="UglVWVDNbXrJEv0DU1kVkg==" spinCount="100000" sheet="1" objects="1" scenarios="1"/>
  <mergeCells count="2">
    <mergeCell ref="B1:F1"/>
    <mergeCell ref="A2:F2"/>
  </mergeCells>
  <pageMargins left="0.25" right="0.25" top="0.75" bottom="0.75" header="0.3" footer="0.3"/>
  <pageSetup paperSize="9" scale="73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H27" sqref="H27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BPU</vt:lpstr>
      <vt:lpstr>DQE</vt:lpstr>
      <vt:lpstr>Feuil2</vt:lpstr>
      <vt:lpstr>BPU!Zone_d_impression</vt:lpstr>
      <vt:lpstr>DQE!Zone_d_impression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rouen expo</dc:creator>
  <cp:lastModifiedBy>rouen expo</cp:lastModifiedBy>
  <cp:lastPrinted>2026-04-30T09:22:05Z</cp:lastPrinted>
  <dcterms:created xsi:type="dcterms:W3CDTF">2025-11-25T10:59:10Z</dcterms:created>
  <dcterms:modified xsi:type="dcterms:W3CDTF">2026-04-30T11:12:55Z</dcterms:modified>
</cp:coreProperties>
</file>